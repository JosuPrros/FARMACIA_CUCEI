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sue\Desktop\FAMACIA CUCEI\"/>
    </mc:Choice>
  </mc:AlternateContent>
  <xr:revisionPtr revIDLastSave="0" documentId="13_ncr:1_{6CCC56D9-57DE-4CF3-A21C-2F93012DC5FD}" xr6:coauthVersionLast="47" xr6:coauthVersionMax="47" xr10:uidLastSave="{00000000-0000-0000-0000-000000000000}"/>
  <bookViews>
    <workbookView xWindow="-120" yWindow="-120" windowWidth="29040" windowHeight="15720" tabRatio="500" firstSheet="2" activeTab="2" xr2:uid="{00000000-000D-0000-FFFF-FFFF00000000}"/>
  </bookViews>
  <sheets>
    <sheet name="📋 Proyecto" sheetId="1" r:id="rId1"/>
    <sheet name="📦 Product Backlog" sheetId="2" r:id="rId2"/>
    <sheet name="🏃 Sprint 1 Backlog" sheetId="3" r:id="rId3"/>
    <sheet name="🗂️ Kanban Board" sheetId="4" r:id="rId4"/>
    <sheet name="📉 Burndown Chart" sheetId="5" r:id="rId5"/>
    <sheet name="🔁 Retrospectiva" sheetId="6" r:id="rId6"/>
    <sheet name="📊 Métricas" sheetId="7" r:id="rId7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7" l="1"/>
  <c r="D11" i="7"/>
  <c r="D10" i="7"/>
  <c r="D4" i="7"/>
  <c r="E17" i="3"/>
</calcChain>
</file>

<file path=xl/sharedStrings.xml><?xml version="1.0" encoding="utf-8"?>
<sst xmlns="http://schemas.openxmlformats.org/spreadsheetml/2006/main" count="245" uniqueCount="182">
  <si>
    <t>🏃 PLANTILLA SCRUM</t>
  </si>
  <si>
    <t>Marco ágil de gestión de proyectos</t>
  </si>
  <si>
    <t xml:space="preserve">  INFORMACIÓN DEL PROYECTO</t>
  </si>
  <si>
    <t>Nombre del proyecto</t>
  </si>
  <si>
    <t>Sistema de Gestión de Inventario</t>
  </si>
  <si>
    <t>Equipo / Organización</t>
  </si>
  <si>
    <t>Equipo Alpha — CUCEI</t>
  </si>
  <si>
    <t>Product Owner</t>
  </si>
  <si>
    <t>Scrum Master</t>
  </si>
  <si>
    <t>Fecha de inicio</t>
  </si>
  <si>
    <t>Fecha estimada de entrega</t>
  </si>
  <si>
    <t>Duración del Sprint</t>
  </si>
  <si>
    <t>2 semanas</t>
  </si>
  <si>
    <t>Número total de Sprints</t>
  </si>
  <si>
    <t>4</t>
  </si>
  <si>
    <t xml:space="preserve">  ROLES SCRUM</t>
  </si>
  <si>
    <t>Define y prioriza el Product Backlog.
Representa los intereses del cliente.</t>
  </si>
  <si>
    <t>Facilita el proceso Scrum.
Elimina impedimentos del equipo.</t>
  </si>
  <si>
    <t>Development Team</t>
  </si>
  <si>
    <t>Equipo autoorganizado que entrega
los incrementos del producto.</t>
  </si>
  <si>
    <t xml:space="preserve">  CEREMONIAS SCRUM</t>
  </si>
  <si>
    <t>Ceremonia</t>
  </si>
  <si>
    <t>Cuándo</t>
  </si>
  <si>
    <t>Propósito</t>
  </si>
  <si>
    <t>Sprint Planning</t>
  </si>
  <si>
    <t>Inicio de Sprint</t>
  </si>
  <si>
    <t>Definir el Sprint Goal y seleccionar ítems del backlog</t>
  </si>
  <si>
    <t>Daily Scrum</t>
  </si>
  <si>
    <t>Diario (15 min)</t>
  </si>
  <si>
    <t>Sincronización del equipo: ¿qué hice?, ¿qué haré?, ¿impedimentos?</t>
  </si>
  <si>
    <t>Sprint Review</t>
  </si>
  <si>
    <t>Fin de Sprint</t>
  </si>
  <si>
    <t>Demo del incremento al Product Owner y stakeholders</t>
  </si>
  <si>
    <t>Sprint Retrospective</t>
  </si>
  <si>
    <t>¿Qué salió bien?, ¿qué mejorar?, ¿acciones?</t>
  </si>
  <si>
    <t xml:space="preserve">  📦 PRODUCT BACKLOG</t>
  </si>
  <si>
    <t>ID</t>
  </si>
  <si>
    <t>Historia de Usuario</t>
  </si>
  <si>
    <t>Como...</t>
  </si>
  <si>
    <t>Quiero...</t>
  </si>
  <si>
    <t>Para...</t>
  </si>
  <si>
    <t>Criterios de Aceptación</t>
  </si>
  <si>
    <t>Prioridad</t>
  </si>
  <si>
    <t>Puntos
(Story Points)</t>
  </si>
  <si>
    <t>Estado</t>
  </si>
  <si>
    <t>Sprint</t>
  </si>
  <si>
    <t>US-01</t>
  </si>
  <si>
    <t>Por hacer</t>
  </si>
  <si>
    <t>Sprint 1</t>
  </si>
  <si>
    <t>US-02</t>
  </si>
  <si>
    <t>US-03</t>
  </si>
  <si>
    <t>US-04</t>
  </si>
  <si>
    <t>mantener el inventario actualizado</t>
  </si>
  <si>
    <t>Sprint 2</t>
  </si>
  <si>
    <t>US-05</t>
  </si>
  <si>
    <t>US-06</t>
  </si>
  <si>
    <t>US-07</t>
  </si>
  <si>
    <t>gerente</t>
  </si>
  <si>
    <t>ver reportes de ventas por período</t>
  </si>
  <si>
    <t>tomar decisiones basadas en datos</t>
  </si>
  <si>
    <t>US-08</t>
  </si>
  <si>
    <t>Sprint Goal:</t>
  </si>
  <si>
    <t>Implementar autenticación y vista inicial del catálogo</t>
  </si>
  <si>
    <t>Fecha inicio:</t>
  </si>
  <si>
    <t>Fecha fin:</t>
  </si>
  <si>
    <t>Velocidad objetivo:</t>
  </si>
  <si>
    <t>16 puntos</t>
  </si>
  <si>
    <t>ID
Tarea</t>
  </si>
  <si>
    <t>Historia
Padre</t>
  </si>
  <si>
    <t>Descripción de la Tarea</t>
  </si>
  <si>
    <t>Responsable</t>
  </si>
  <si>
    <t>Estimación
(hrs)</t>
  </si>
  <si>
    <t>Horas
Reales</t>
  </si>
  <si>
    <t>Fecha
Inicio</t>
  </si>
  <si>
    <t>Fecha
Fin</t>
  </si>
  <si>
    <t>T-01</t>
  </si>
  <si>
    <t>T-02</t>
  </si>
  <si>
    <t>T-03</t>
  </si>
  <si>
    <t>T-04</t>
  </si>
  <si>
    <t>T-05</t>
  </si>
  <si>
    <t>T-06</t>
  </si>
  <si>
    <t>T-07</t>
  </si>
  <si>
    <t>T-08</t>
  </si>
  <si>
    <t>T-09</t>
  </si>
  <si>
    <t>TOTAL HORAS ESTIMADAS:</t>
  </si>
  <si>
    <t xml:space="preserve">  🗂️ TABLERO KANBAN — SPRINT ACTUAL</t>
  </si>
  <si>
    <t>📋 BACKLOG</t>
  </si>
  <si>
    <t>🔄 EN PROGRESO</t>
  </si>
  <si>
    <t>🔍 EN REVISIÓN</t>
  </si>
  <si>
    <t>✅ HECHO</t>
  </si>
  <si>
    <t>T-01: Modelo BD usuarios</t>
  </si>
  <si>
    <t>T-08: Catálogo frontend</t>
  </si>
  <si>
    <t xml:space="preserve">  📉 BURNDOWN CHART — SPRINT 1</t>
  </si>
  <si>
    <t>Día</t>
  </si>
  <si>
    <t>Puntos Ideales
(línea guía)</t>
  </si>
  <si>
    <t>Puntos Reales
(equipo)</t>
  </si>
  <si>
    <t>Diferencia</t>
  </si>
  <si>
    <t>Día 0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</si>
  <si>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</si>
  <si>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</si>
  <si>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</si>
  <si>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</si>
  <si>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</si>
  <si>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</si>
  <si>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</si>
  <si>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</si>
  <si>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</si>
  <si>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</si>
  <si>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 xml:space="preserve">  🔁 RETROSPECTIVA DEL SPRINT</t>
  </si>
  <si>
    <t>✅ ¿QUÉ SALIÓ BIEN?</t>
  </si>
  <si>
    <t>⚠️ ¿QUÉ MEJORAR?</t>
  </si>
  <si>
    <t>🎯 ACCIONES PARA EL PRÓXIMO SPRINT</t>
  </si>
  <si>
    <t xml:space="preserve">  📊 MÉTRICAS Y VELOCIDAD DEL EQUIPO</t>
  </si>
  <si>
    <t>Puntos
Planificados</t>
  </si>
  <si>
    <t>Puntos
Completados</t>
  </si>
  <si>
    <t>Velocidad
(%)</t>
  </si>
  <si>
    <t>Deuda
Técnica (hrs)</t>
  </si>
  <si>
    <t xml:space="preserve">  RESUMEN</t>
  </si>
  <si>
    <t>Velocidad Promedio</t>
  </si>
  <si>
    <t>puntos/sprint</t>
  </si>
  <si>
    <t>Total Story Points</t>
  </si>
  <si>
    <t>puntos completados</t>
  </si>
  <si>
    <t>% Planificación Cumplida</t>
  </si>
  <si>
    <t>del total planificado</t>
  </si>
  <si>
    <t>Diseñar las interfaces necesarias para el programa</t>
  </si>
  <si>
    <t>Crear un sistema de navegacion en las interfaces</t>
  </si>
  <si>
    <t>Crear las bases de datos normalizadas</t>
  </si>
  <si>
    <t>Crear el metodo que interactue con las bases de datos</t>
  </si>
  <si>
    <t>Crear el metodo de validacion de valores</t>
  </si>
  <si>
    <t>Crear el metodo de login y registro</t>
  </si>
  <si>
    <t>Crear el metodo de registro de clientes</t>
  </si>
  <si>
    <t>Crear el metodo de registro de productos</t>
  </si>
  <si>
    <t>Crear el metodo de validacion de valores en la base de datos</t>
  </si>
  <si>
    <t>Josue (Main Dev &amp; Proyect Manager)</t>
  </si>
  <si>
    <t>Finalizado</t>
  </si>
  <si>
    <t>T-01: Diseñar las interfaces necesarias para el programa</t>
  </si>
  <si>
    <t>Las interfaces cumplieron con las espectativas</t>
  </si>
  <si>
    <t>Añadir los descuentos del cliente mejor visualizados</t>
  </si>
  <si>
    <t>UI_compras</t>
  </si>
  <si>
    <t>UI_login</t>
  </si>
  <si>
    <t>UI_productos</t>
  </si>
  <si>
    <t>UI_usuarios</t>
  </si>
  <si>
    <t>UI_ventas</t>
  </si>
  <si>
    <t>UI_MAIN</t>
  </si>
  <si>
    <t>US-09</t>
  </si>
  <si>
    <t>US-10</t>
  </si>
  <si>
    <t>US-11</t>
  </si>
  <si>
    <t>US-12</t>
  </si>
  <si>
    <t>US-13</t>
  </si>
  <si>
    <t>US-14</t>
  </si>
  <si>
    <t>US-15</t>
  </si>
  <si>
    <t>US-16</t>
  </si>
  <si>
    <t>US-17</t>
  </si>
  <si>
    <t>US-18</t>
  </si>
  <si>
    <t>US-19</t>
  </si>
  <si>
    <t>US-20</t>
  </si>
  <si>
    <t>ALTA</t>
  </si>
  <si>
    <t>DB_usuarios</t>
  </si>
  <si>
    <t>DB_clientes</t>
  </si>
  <si>
    <t>DB_ventas</t>
  </si>
  <si>
    <t>DB_productos</t>
  </si>
  <si>
    <t>DB_proveedores</t>
  </si>
  <si>
    <t>FUNTION_conexionDB</t>
  </si>
  <si>
    <t>Registro de clientes</t>
  </si>
  <si>
    <t>registrar clientes</t>
  </si>
  <si>
    <t>tener registro de los clientes, sus puntos y descuentos</t>
  </si>
  <si>
    <t>encargado</t>
  </si>
  <si>
    <t>buscar medigamento y registrar compras</t>
  </si>
  <si>
    <t>llevar el control de ventas/inventario</t>
  </si>
  <si>
    <t>HECHO</t>
  </si>
  <si>
    <t>la interfaz cumple con los requisitos y botones necesarios</t>
  </si>
  <si>
    <t>la interfaz cumple con los requisitos y botones necesarios para navegar entre interfaces</t>
  </si>
  <si>
    <t>usuario general</t>
  </si>
  <si>
    <t>limitar el sistema en base al rol de el usuario registrado mediante el login</t>
  </si>
  <si>
    <t>iniciar sesion de forma segura con credenciales que estan en la base de datos</t>
  </si>
  <si>
    <t>registrar prodcutos</t>
  </si>
  <si>
    <t>registrar usuarios</t>
  </si>
  <si>
    <t>llevar el control de quienes usan el sistema</t>
  </si>
  <si>
    <t>llevar el control de las ventas</t>
  </si>
  <si>
    <t>dar</t>
  </si>
  <si>
    <t>General la base de datos normalizada</t>
  </si>
  <si>
    <t xml:space="preserve">  🏃 SPRINTS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</si>
</sst>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1E3A5F"/>
      <name val="Arial"/>
      <charset val="1"/>
    </font>
    <font>
      <sz val="10"/>
      <color rgb="FF333333"/>
      <name val="Arial"/>
      <charset val="1"/>
    </font>
    <font>
      <b/>
      <sz val="10"/>
      <color rgb="FFFFFFFF"/>
      <name val="Arial"/>
      <charset val="1"/>
    </font>
    <font>
      <sz val="10"/>
      <color rgb="FF222222"/>
      <name val="Arial"/>
      <charset val="1"/>
    </font>
    <font>
      <b/>
      <sz val="11"/>
      <color rgb="FFFFFFFF"/>
      <name val="Arial"/>
      <charset val="1"/>
    </font>
    <font>
      <sz val="9"/>
      <color rgb="FF222222"/>
      <name val="Arial"/>
      <charset val="1"/>
    </font>
    <font>
      <sz val="10"/>
      <name val="Arial"/>
      <charset val="1"/>
    </font>
    <font>
      <sz val="10"/>
      <color rgb="FFE63946"/>
      <name val="Arial"/>
      <charset val="1"/>
    </font>
    <font>
      <b/>
      <sz val="10"/>
      <color rgb="FF222222"/>
      <name val="Arial"/>
      <charset val="1"/>
    </font>
    <font>
      <i/>
      <sz val="10"/>
      <color rgb="FF555555"/>
      <name val="Arial"/>
      <charset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2E86AB"/>
        <bgColor rgb="FF008080"/>
      </patternFill>
    </fill>
    <fill>
      <patternFill patternType="solid">
        <fgColor rgb="FFE9ECEF"/>
        <bgColor rgb="FFECEFF1"/>
      </patternFill>
    </fill>
    <fill>
      <patternFill patternType="solid">
        <fgColor rgb="FFF1FAEE"/>
        <bgColor rgb="FFECEFF1"/>
      </patternFill>
    </fill>
    <fill>
      <patternFill patternType="solid">
        <fgColor rgb="FF2D6A4F"/>
        <bgColor rgb="FF555555"/>
      </patternFill>
    </fill>
    <fill>
      <patternFill patternType="solid">
        <fgColor rgb="FFB7E4C7"/>
        <bgColor rgb="FFC8E6C9"/>
      </patternFill>
    </fill>
    <fill>
      <patternFill patternType="solid">
        <fgColor rgb="FFE63946"/>
        <bgColor rgb="FFB45309"/>
      </patternFill>
    </fill>
    <fill>
      <patternFill patternType="solid">
        <fgColor rgb="FFFFFFFF"/>
        <bgColor rgb="FFF1FAEE"/>
      </patternFill>
    </fill>
    <fill>
      <patternFill patternType="solid">
        <fgColor rgb="FFC8E6C9"/>
        <bgColor rgb="FFB7E4C7"/>
      </patternFill>
    </fill>
    <fill>
      <patternFill patternType="solid">
        <fgColor rgb="FFFFD166"/>
        <bgColor rgb="FFFFE0B2"/>
      </patternFill>
    </fill>
    <fill>
      <patternFill patternType="solid">
        <fgColor rgb="FFADB5BD"/>
        <bgColor rgb="FFCCCCCC"/>
      </patternFill>
    </fill>
    <fill>
      <patternFill patternType="solid">
        <fgColor rgb="FFF4A261"/>
        <bgColor rgb="FFF39C12"/>
      </patternFill>
    </fill>
    <fill>
      <patternFill patternType="solid">
        <fgColor rgb="FFECEFF1"/>
        <bgColor rgb="FFE9ECEF"/>
      </patternFill>
    </fill>
    <fill>
      <patternFill patternType="solid">
        <fgColor rgb="FFBBDEFB"/>
        <bgColor rgb="FFB7E4C7"/>
      </patternFill>
    </fill>
    <fill>
      <patternFill patternType="solid">
        <fgColor rgb="FFFFE0B2"/>
        <bgColor rgb="FFFEF3C7"/>
      </patternFill>
    </fill>
    <fill>
      <patternFill patternType="solid">
        <fgColor rgb="FFB45309"/>
        <bgColor rgb="FFE63946"/>
      </patternFill>
    </fill>
    <fill>
      <patternFill patternType="solid">
        <fgColor rgb="FFFEF3C7"/>
        <bgColor rgb="FFFFF9C4"/>
      </patternFill>
    </fill>
    <fill>
      <patternFill patternType="solid">
        <fgColor rgb="FFDBEAFE"/>
        <bgColor rgb="FFE9ECEF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3">
    <xf numFmtId="0" fontId="0" fillId="0" borderId="0"/>
    <xf numFmtId="0" fontId="14" fillId="20" borderId="0" applyNumberFormat="0" applyBorder="0" applyAlignment="0" applyProtection="0"/>
    <xf numFmtId="0" fontId="15" fillId="21" borderId="0" applyNumberFormat="0" applyBorder="0" applyAlignment="0" applyProtection="0"/>
  </cellStyleXfs>
  <cellXfs count="54"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64" fontId="7" fillId="9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4" fillId="20" borderId="1" xfId="1" applyBorder="1" applyAlignment="1">
      <alignment horizontal="left" vertical="center" wrapText="1"/>
    </xf>
    <xf numFmtId="14" fontId="7" fillId="9" borderId="1" xfId="0" applyNumberFormat="1" applyFont="1" applyFill="1" applyBorder="1" applyAlignment="1">
      <alignment horizontal="center" vertical="center" wrapText="1"/>
    </xf>
    <xf numFmtId="14" fontId="7" fillId="5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14" fontId="7" fillId="5" borderId="1" xfId="0" applyNumberFormat="1" applyFont="1" applyFill="1" applyBorder="1" applyAlignment="1">
      <alignment horizontal="left" vertical="center"/>
    </xf>
    <xf numFmtId="0" fontId="7" fillId="19" borderId="1" xfId="0" applyFont="1" applyFill="1" applyBorder="1" applyAlignment="1">
      <alignment horizontal="left" vertical="center"/>
    </xf>
    <xf numFmtId="0" fontId="8" fillId="17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5" fillId="21" borderId="1" xfId="2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Bueno" xfId="1" builtinId="26"/>
    <cellStyle name="Incorrecto" xfId="2" builtinId="27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9ECEF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878787"/>
      <rgbColor rgb="FFDDDDDD"/>
      <rgbColor rgb="FF9B59B6"/>
      <rgbColor rgb="FFFFF9C4"/>
      <rgbColor rgb="FFDBEAFE"/>
      <rgbColor rgb="FF660066"/>
      <rgbColor rgb="FFF4A261"/>
      <rgbColor rgb="FF0066CC"/>
      <rgbColor rgb="FFBBDEFB"/>
      <rgbColor rgb="FF000080"/>
      <rgbColor rgb="FFFF00FF"/>
      <rgbColor rgb="FFECEFF1"/>
      <rgbColor rgb="FF00FFFF"/>
      <rgbColor rgb="FF800080"/>
      <rgbColor rgb="FF800000"/>
      <rgbColor rgb="FF008080"/>
      <rgbColor rgb="FF0000FF"/>
      <rgbColor rgb="FF00CCFF"/>
      <rgbColor rgb="FFF1FAEE"/>
      <rgbColor rgb="FFC8E6C9"/>
      <rgbColor rgb="FFFEF3C7"/>
      <rgbColor rgb="FFB7E4C7"/>
      <rgbColor rgb="FFFFCDD2"/>
      <rgbColor rgb="FFD9D9D9"/>
      <rgbColor rgb="FFFFD166"/>
      <rgbColor rgb="FF3366FF"/>
      <rgbColor rgb="FF33CCCC"/>
      <rgbColor rgb="FF99CC00"/>
      <rgbColor rgb="FFFFE0B2"/>
      <rgbColor rgb="FFF39C12"/>
      <rgbColor rgb="FFFF6600"/>
      <rgbColor rgb="FF555555"/>
      <rgbColor rgb="FFADB5BD"/>
      <rgbColor rgb="FF1E3A5F"/>
      <rgbColor rgb="FF2E86AB"/>
      <rgbColor rgb="FF003300"/>
      <rgbColor rgb="FF222222"/>
      <rgbColor rgb="FFB45309"/>
      <rgbColor rgb="FFE6394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Burndown Chart — Sprint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'📉 Burndown Chart'!$B$3</c:f>
              <c:strCache>
                <c:ptCount val="1"/>
                <c:pt idx="0">
                  <c:v>Puntos Ideales
(línea guía)</c:v>
                </c:pt>
              </c:strCache>
            </c:strRef>
          </c:tx>
          <c:spPr>
            <a:ln w="20160">
              <a:solidFill>
                <a:srgbClr val="2E86A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'📉 Burndown Chart'!$B$4:$B$14</c:f>
              <c:numCache>
                <c:formatCode>General</c:formatCode>
                <c:ptCount val="11"/>
                <c:pt idx="0">
                  <c:v>32</c:v>
                </c:pt>
                <c:pt idx="1">
                  <c:v>28.8</c:v>
                </c:pt>
                <c:pt idx="2">
                  <c:v>25.6</c:v>
                </c:pt>
                <c:pt idx="3">
                  <c:v>22.4</c:v>
                </c:pt>
                <c:pt idx="4">
                  <c:v>19.2</c:v>
                </c:pt>
                <c:pt idx="5">
                  <c:v>16</c:v>
                </c:pt>
                <c:pt idx="6">
                  <c:v>12.8</c:v>
                </c:pt>
                <c:pt idx="7">
                  <c:v>9.6</c:v>
                </c:pt>
                <c:pt idx="8">
                  <c:v>6.4</c:v>
                </c:pt>
                <c:pt idx="9">
                  <c:v>3.2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A9-4BE5-8BBD-0D5B24F5094C}"/>
            </c:ext>
          </c:extLst>
        </c:ser>
        <c:ser>
          <c:idx val="1"/>
          <c:order val="1"/>
          <c:tx>
            <c:strRef>
              <c:f>'📉 Burndown Chart'!$C$3</c:f>
              <c:strCache>
                <c:ptCount val="1"/>
                <c:pt idx="0">
                  <c:v>Puntos Reales
(equipo)</c:v>
                </c:pt>
              </c:strCache>
            </c:strRef>
          </c:tx>
          <c:spPr>
            <a:ln w="20160">
              <a:solidFill>
                <a:srgbClr val="E639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'📉 Burndown Chart'!$C$4:$C$14</c:f>
              <c:numCache>
                <c:formatCode>General</c:formatCode>
                <c:ptCount val="11"/>
                <c:pt idx="0">
                  <c:v>32</c:v>
                </c:pt>
                <c:pt idx="1">
                  <c:v>32</c:v>
                </c:pt>
                <c:pt idx="2">
                  <c:v>28</c:v>
                </c:pt>
                <c:pt idx="3">
                  <c:v>25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12</c:v>
                </c:pt>
                <c:pt idx="8">
                  <c:v>8</c:v>
                </c:pt>
                <c:pt idx="9">
                  <c:v>5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1A9-4BE5-8BBD-0D5B24F50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5039814"/>
        <c:axId val="8987576"/>
      </c:lineChart>
      <c:catAx>
        <c:axId val="450398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Días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8987576"/>
        <c:crosses val="autoZero"/>
        <c:auto val="1"/>
        <c:lblAlgn val="ctr"/>
        <c:lblOffset val="100"/>
        <c:noMultiLvlLbl val="0"/>
      </c:catAx>
      <c:valAx>
        <c:axId val="89875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Story Points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450398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16</xdr:col>
      <xdr:colOff>473040</xdr:colOff>
      <xdr:row>26</xdr:row>
      <xdr:rowOff>48240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E24"/>
  <sheetViews>
    <sheetView showGridLines="0" zoomScaleNormal="100" workbookViewId="0"/>
  </sheetViews>
  <sheetFormatPr baseColWidth="10" defaultColWidth="8.7109375" defaultRowHeight="15" x14ac:dyDescent="0.25"/>
  <cols>
    <col min="1" max="1" width="28" customWidth="1"/>
    <col min="2" max="2" width="20" customWidth="1"/>
    <col min="3" max="3" width="40" customWidth="1"/>
    <col min="4" max="5" width="20" customWidth="1"/>
    <col min="6" max="6" width="2" customWidth="1"/>
  </cols>
  <sheetData>
    <row r="1" spans="2:5" ht="18" customHeight="1" x14ac:dyDescent="0.25"/>
    <row r="2" spans="2:5" ht="39.75" customHeight="1" x14ac:dyDescent="0.25">
      <c r="B2" s="40" t="s">
        <v>0</v>
      </c>
      <c r="C2" s="40"/>
      <c r="D2" s="40"/>
      <c r="E2" s="40"/>
    </row>
    <row r="3" spans="2:5" ht="18" customHeight="1" x14ac:dyDescent="0.25">
      <c r="B3" s="41" t="s">
        <v>1</v>
      </c>
      <c r="C3" s="41"/>
      <c r="D3" s="41"/>
      <c r="E3" s="41"/>
    </row>
    <row r="4" spans="2:5" ht="18" customHeight="1" x14ac:dyDescent="0.25"/>
    <row r="5" spans="2:5" ht="21.75" customHeight="1" x14ac:dyDescent="0.25">
      <c r="B5" s="37" t="s">
        <v>2</v>
      </c>
      <c r="C5" s="37"/>
      <c r="D5" s="37"/>
      <c r="E5" s="37"/>
    </row>
    <row r="6" spans="2:5" ht="19.5" customHeight="1" x14ac:dyDescent="0.25">
      <c r="B6" s="1" t="s">
        <v>3</v>
      </c>
      <c r="C6" s="38" t="s">
        <v>4</v>
      </c>
      <c r="D6" s="38"/>
      <c r="E6" s="38"/>
    </row>
    <row r="7" spans="2:5" ht="19.5" customHeight="1" x14ac:dyDescent="0.25">
      <c r="B7" s="1" t="s">
        <v>5</v>
      </c>
      <c r="C7" s="38" t="s">
        <v>6</v>
      </c>
      <c r="D7" s="38"/>
      <c r="E7" s="38"/>
    </row>
    <row r="8" spans="2:5" ht="19.5" customHeight="1" x14ac:dyDescent="0.25">
      <c r="B8" s="1" t="s">
        <v>7</v>
      </c>
      <c r="C8" s="38"/>
      <c r="D8" s="38"/>
      <c r="E8" s="38"/>
    </row>
    <row r="9" spans="2:5" ht="19.5" customHeight="1" x14ac:dyDescent="0.25">
      <c r="B9" s="1" t="s">
        <v>8</v>
      </c>
      <c r="C9" s="38"/>
      <c r="D9" s="38"/>
      <c r="E9" s="38"/>
    </row>
    <row r="10" spans="2:5" ht="19.5" customHeight="1" x14ac:dyDescent="0.25">
      <c r="B10" s="1" t="s">
        <v>9</v>
      </c>
      <c r="C10" s="38"/>
      <c r="D10" s="38"/>
      <c r="E10" s="38"/>
    </row>
    <row r="11" spans="2:5" ht="19.5" customHeight="1" x14ac:dyDescent="0.25">
      <c r="B11" s="1" t="s">
        <v>10</v>
      </c>
      <c r="C11" s="38"/>
      <c r="D11" s="38"/>
      <c r="E11" s="38"/>
    </row>
    <row r="12" spans="2:5" ht="19.5" customHeight="1" x14ac:dyDescent="0.25">
      <c r="B12" s="1" t="s">
        <v>11</v>
      </c>
      <c r="C12" s="38" t="s">
        <v>12</v>
      </c>
      <c r="D12" s="38"/>
      <c r="E12" s="38"/>
    </row>
    <row r="13" spans="2:5" ht="19.5" customHeight="1" x14ac:dyDescent="0.25">
      <c r="B13" s="1" t="s">
        <v>13</v>
      </c>
      <c r="C13" s="38" t="s">
        <v>14</v>
      </c>
      <c r="D13" s="38"/>
      <c r="E13" s="38"/>
    </row>
    <row r="15" spans="2:5" ht="21.75" customHeight="1" x14ac:dyDescent="0.25">
      <c r="B15" s="37" t="s">
        <v>15</v>
      </c>
      <c r="C15" s="37"/>
      <c r="D15" s="37"/>
      <c r="E15" s="37"/>
    </row>
    <row r="16" spans="2:5" ht="31.5" customHeight="1" x14ac:dyDescent="0.25">
      <c r="B16" s="2" t="s">
        <v>7</v>
      </c>
      <c r="C16" s="39" t="s">
        <v>16</v>
      </c>
      <c r="D16" s="39"/>
      <c r="E16" s="39"/>
    </row>
    <row r="17" spans="1:5" ht="31.5" customHeight="1" x14ac:dyDescent="0.25">
      <c r="B17" s="2" t="s">
        <v>8</v>
      </c>
      <c r="C17" s="39" t="s">
        <v>17</v>
      </c>
      <c r="D17" s="39"/>
      <c r="E17" s="39"/>
    </row>
    <row r="18" spans="1:5" ht="31.5" customHeight="1" x14ac:dyDescent="0.25">
      <c r="B18" s="2" t="s">
        <v>18</v>
      </c>
      <c r="C18" s="39" t="s">
        <v>19</v>
      </c>
      <c r="D18" s="39"/>
      <c r="E18" s="39"/>
    </row>
    <row r="19" spans="1:5" ht="21.75" customHeight="1" x14ac:dyDescent="0.25">
      <c r="B19" s="37" t="s">
        <v>20</v>
      </c>
      <c r="C19" s="37"/>
      <c r="D19" s="37"/>
      <c r="E19" s="37"/>
    </row>
    <row r="20" spans="1:5" x14ac:dyDescent="0.25">
      <c r="A20" s="3" t="s">
        <v>21</v>
      </c>
      <c r="B20" s="3" t="s">
        <v>22</v>
      </c>
      <c r="C20" s="3" t="s">
        <v>23</v>
      </c>
      <c r="D20" s="3"/>
    </row>
    <row r="21" spans="1:5" ht="27.75" customHeight="1" x14ac:dyDescent="0.25">
      <c r="A21" s="4" t="s">
        <v>24</v>
      </c>
      <c r="B21" s="4" t="s">
        <v>25</v>
      </c>
      <c r="C21" s="4" t="s">
        <v>26</v>
      </c>
      <c r="D21" s="4"/>
    </row>
    <row r="22" spans="1:5" ht="27.75" customHeight="1" x14ac:dyDescent="0.25">
      <c r="A22" s="5" t="s">
        <v>27</v>
      </c>
      <c r="B22" s="5" t="s">
        <v>28</v>
      </c>
      <c r="C22" s="5" t="s">
        <v>29</v>
      </c>
      <c r="D22" s="5"/>
    </row>
    <row r="23" spans="1:5" ht="27.75" customHeight="1" x14ac:dyDescent="0.25">
      <c r="A23" s="4" t="s">
        <v>30</v>
      </c>
      <c r="B23" s="4" t="s">
        <v>31</v>
      </c>
      <c r="C23" s="4" t="s">
        <v>32</v>
      </c>
      <c r="D23" s="4"/>
    </row>
    <row r="24" spans="1:5" ht="27.75" customHeight="1" x14ac:dyDescent="0.25">
      <c r="A24" s="5" t="s">
        <v>33</v>
      </c>
      <c r="B24" s="5" t="s">
        <v>31</v>
      </c>
      <c r="C24" s="5" t="s">
        <v>34</v>
      </c>
      <c r="D24" s="5"/>
    </row>
  </sheetData>
  <mergeCells count="16">
    <mergeCell ref="B2:E2"/>
    <mergeCell ref="B3:E3"/>
    <mergeCell ref="B5:E5"/>
    <mergeCell ref="C6:E6"/>
    <mergeCell ref="C7:E7"/>
    <mergeCell ref="C8:E8"/>
    <mergeCell ref="C9:E9"/>
    <mergeCell ref="C10:E10"/>
    <mergeCell ref="C11:E11"/>
    <mergeCell ref="C12:E12"/>
    <mergeCell ref="B19:E19"/>
    <mergeCell ref="C13:E13"/>
    <mergeCell ref="B15:E15"/>
    <mergeCell ref="C16:E16"/>
    <mergeCell ref="C17:E17"/>
    <mergeCell ref="C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AB"/>
  </sheetPr>
  <dimension ref="A1:J23"/>
  <sheetViews>
    <sheetView showGridLines="0" zoomScaleNormal="100" workbookViewId="0">
      <selection activeCell="E9" sqref="E9"/>
    </sheetView>
  </sheetViews>
  <sheetFormatPr baseColWidth="10" defaultColWidth="8.7109375" defaultRowHeight="15" x14ac:dyDescent="0.25"/>
  <cols>
    <col min="1" max="1" width="6" customWidth="1"/>
    <col min="2" max="2" width="38" customWidth="1"/>
    <col min="3" max="3" width="15.7109375" bestFit="1" customWidth="1"/>
    <col min="4" max="5" width="32" customWidth="1"/>
    <col min="6" max="6" width="35" customWidth="1"/>
    <col min="7" max="7" width="12" customWidth="1"/>
    <col min="8" max="8" width="10" customWidth="1"/>
    <col min="9" max="9" width="14" customWidth="1"/>
    <col min="10" max="10" width="9" customWidth="1"/>
  </cols>
  <sheetData>
    <row r="1" spans="1:10" ht="21.75" customHeight="1" x14ac:dyDescent="0.25">
      <c r="A1" s="37" t="s">
        <v>35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13.5" customHeight="1" x14ac:dyDescent="0.25"/>
    <row r="3" spans="1:10" ht="38.25" x14ac:dyDescent="0.25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7" t="s">
        <v>43</v>
      </c>
      <c r="I3" s="6" t="s">
        <v>44</v>
      </c>
      <c r="J3" s="6" t="s">
        <v>45</v>
      </c>
    </row>
    <row r="4" spans="1:10" ht="25.5" x14ac:dyDescent="0.25">
      <c r="A4" s="8" t="s">
        <v>46</v>
      </c>
      <c r="B4" s="9" t="s">
        <v>163</v>
      </c>
      <c r="C4" s="9" t="s">
        <v>57</v>
      </c>
      <c r="D4" s="9" t="s">
        <v>164</v>
      </c>
      <c r="E4" s="9" t="s">
        <v>165</v>
      </c>
      <c r="F4" s="9" t="s">
        <v>170</v>
      </c>
      <c r="G4" s="52" t="s">
        <v>156</v>
      </c>
      <c r="H4" s="8">
        <v>5</v>
      </c>
      <c r="I4" s="8" t="s">
        <v>169</v>
      </c>
      <c r="J4" s="8" t="s">
        <v>48</v>
      </c>
    </row>
    <row r="5" spans="1:10" ht="30" customHeight="1" x14ac:dyDescent="0.25">
      <c r="A5" s="10" t="s">
        <v>49</v>
      </c>
      <c r="B5" s="11" t="s">
        <v>138</v>
      </c>
      <c r="C5" s="11" t="s">
        <v>166</v>
      </c>
      <c r="D5" s="11" t="s">
        <v>167</v>
      </c>
      <c r="E5" s="11" t="s">
        <v>168</v>
      </c>
      <c r="F5" s="9" t="s">
        <v>170</v>
      </c>
      <c r="G5" s="52" t="s">
        <v>156</v>
      </c>
      <c r="H5" s="10">
        <v>3</v>
      </c>
      <c r="I5" s="10" t="s">
        <v>169</v>
      </c>
      <c r="J5" s="10" t="s">
        <v>48</v>
      </c>
    </row>
    <row r="6" spans="1:10" ht="30" customHeight="1" x14ac:dyDescent="0.25">
      <c r="A6" s="8" t="s">
        <v>50</v>
      </c>
      <c r="B6" s="9" t="s">
        <v>139</v>
      </c>
      <c r="C6" s="9" t="s">
        <v>172</v>
      </c>
      <c r="D6" s="9" t="s">
        <v>174</v>
      </c>
      <c r="E6" s="9" t="s">
        <v>173</v>
      </c>
      <c r="F6" s="9" t="s">
        <v>170</v>
      </c>
      <c r="G6" s="52" t="s">
        <v>156</v>
      </c>
      <c r="H6" s="8">
        <v>8</v>
      </c>
      <c r="I6" s="8" t="s">
        <v>169</v>
      </c>
      <c r="J6" s="8" t="s">
        <v>48</v>
      </c>
    </row>
    <row r="7" spans="1:10" ht="30" customHeight="1" x14ac:dyDescent="0.25">
      <c r="A7" s="10" t="s">
        <v>51</v>
      </c>
      <c r="B7" s="11" t="s">
        <v>140</v>
      </c>
      <c r="C7" s="11" t="s">
        <v>166</v>
      </c>
      <c r="D7" s="11" t="s">
        <v>175</v>
      </c>
      <c r="E7" s="11" t="s">
        <v>52</v>
      </c>
      <c r="F7" s="9" t="s">
        <v>170</v>
      </c>
      <c r="G7" s="52" t="s">
        <v>156</v>
      </c>
      <c r="H7" s="10">
        <v>5</v>
      </c>
      <c r="I7" s="10" t="s">
        <v>169</v>
      </c>
      <c r="J7" s="10" t="s">
        <v>48</v>
      </c>
    </row>
    <row r="8" spans="1:10" ht="30" customHeight="1" x14ac:dyDescent="0.25">
      <c r="A8" s="8" t="s">
        <v>54</v>
      </c>
      <c r="B8" s="9" t="s">
        <v>141</v>
      </c>
      <c r="C8" s="9" t="s">
        <v>57</v>
      </c>
      <c r="D8" s="9" t="s">
        <v>176</v>
      </c>
      <c r="E8" s="9" t="s">
        <v>177</v>
      </c>
      <c r="F8" s="9" t="s">
        <v>170</v>
      </c>
      <c r="G8" s="52" t="s">
        <v>156</v>
      </c>
      <c r="H8" s="8">
        <v>3</v>
      </c>
      <c r="I8" s="8" t="s">
        <v>169</v>
      </c>
      <c r="J8" s="8" t="s">
        <v>48</v>
      </c>
    </row>
    <row r="9" spans="1:10" ht="25.5" x14ac:dyDescent="0.25">
      <c r="A9" s="10" t="s">
        <v>55</v>
      </c>
      <c r="B9" s="11" t="s">
        <v>142</v>
      </c>
      <c r="C9" s="11" t="s">
        <v>166</v>
      </c>
      <c r="D9" s="11" t="s">
        <v>178</v>
      </c>
      <c r="E9" s="11" t="s">
        <v>179</v>
      </c>
      <c r="F9" s="9" t="s">
        <v>170</v>
      </c>
      <c r="G9" s="52" t="s">
        <v>156</v>
      </c>
      <c r="H9" s="10">
        <v>5</v>
      </c>
      <c r="I9" s="10" t="s">
        <v>169</v>
      </c>
      <c r="J9" s="10" t="s">
        <v>48</v>
      </c>
    </row>
    <row r="10" spans="1:10" ht="38.25" x14ac:dyDescent="0.25">
      <c r="A10" s="8" t="s">
        <v>56</v>
      </c>
      <c r="B10" s="9" t="s">
        <v>143</v>
      </c>
      <c r="C10" s="9" t="s">
        <v>57</v>
      </c>
      <c r="D10" s="9" t="s">
        <v>58</v>
      </c>
      <c r="E10" s="9" t="s">
        <v>59</v>
      </c>
      <c r="F10" s="9" t="s">
        <v>171</v>
      </c>
      <c r="G10" s="52" t="s">
        <v>156</v>
      </c>
      <c r="H10" s="8">
        <v>8</v>
      </c>
      <c r="I10" s="8" t="s">
        <v>169</v>
      </c>
      <c r="J10" s="8" t="s">
        <v>48</v>
      </c>
    </row>
    <row r="11" spans="1:10" ht="30" customHeight="1" x14ac:dyDescent="0.25">
      <c r="A11" s="8" t="s">
        <v>60</v>
      </c>
      <c r="B11" s="9" t="s">
        <v>157</v>
      </c>
      <c r="C11" s="9"/>
      <c r="D11" s="9"/>
      <c r="E11" s="9"/>
      <c r="F11" s="9"/>
      <c r="G11" s="12"/>
      <c r="H11" s="8"/>
      <c r="I11" s="8"/>
      <c r="J11" s="8" t="s">
        <v>53</v>
      </c>
    </row>
    <row r="12" spans="1:10" ht="25.5" x14ac:dyDescent="0.25">
      <c r="A12" s="8" t="s">
        <v>144</v>
      </c>
      <c r="B12" s="9" t="s">
        <v>158</v>
      </c>
      <c r="C12" s="9"/>
      <c r="D12" s="9"/>
      <c r="E12" s="9"/>
      <c r="F12" s="9"/>
      <c r="G12" s="12"/>
      <c r="H12" s="8"/>
      <c r="I12" s="8"/>
      <c r="J12" s="8" t="s">
        <v>53</v>
      </c>
    </row>
    <row r="13" spans="1:10" ht="25.5" x14ac:dyDescent="0.25">
      <c r="A13" s="8" t="s">
        <v>145</v>
      </c>
      <c r="B13" s="9" t="s">
        <v>159</v>
      </c>
      <c r="C13" s="9"/>
      <c r="D13" s="9"/>
      <c r="E13" s="9"/>
      <c r="F13" s="9"/>
      <c r="G13" s="12"/>
      <c r="H13" s="8"/>
      <c r="I13" s="8"/>
      <c r="J13" s="8" t="s">
        <v>53</v>
      </c>
    </row>
    <row r="14" spans="1:10" ht="25.5" x14ac:dyDescent="0.25">
      <c r="A14" s="8" t="s">
        <v>146</v>
      </c>
      <c r="B14" s="9" t="s">
        <v>160</v>
      </c>
      <c r="C14" s="9"/>
      <c r="D14" s="9"/>
      <c r="E14" s="9"/>
      <c r="F14" s="9"/>
      <c r="G14" s="12"/>
      <c r="H14" s="8"/>
      <c r="I14" s="8"/>
      <c r="J14" s="8" t="s">
        <v>53</v>
      </c>
    </row>
    <row r="15" spans="1:10" ht="25.5" x14ac:dyDescent="0.25">
      <c r="A15" s="8" t="s">
        <v>147</v>
      </c>
      <c r="B15" s="9" t="s">
        <v>161</v>
      </c>
      <c r="C15" s="9"/>
      <c r="D15" s="9"/>
      <c r="E15" s="9"/>
      <c r="F15" s="9"/>
      <c r="G15" s="12"/>
      <c r="H15" s="8"/>
      <c r="I15" s="8"/>
      <c r="J15" s="8" t="s">
        <v>53</v>
      </c>
    </row>
    <row r="16" spans="1:10" ht="25.5" x14ac:dyDescent="0.25">
      <c r="A16" s="8" t="s">
        <v>148</v>
      </c>
      <c r="B16" s="9" t="s">
        <v>162</v>
      </c>
      <c r="C16" s="9"/>
      <c r="D16" s="9"/>
      <c r="E16" s="9"/>
      <c r="F16" s="9"/>
      <c r="G16" s="12"/>
      <c r="H16" s="8"/>
      <c r="I16" s="8"/>
      <c r="J16" s="8" t="s">
        <v>53</v>
      </c>
    </row>
    <row r="17" spans="1:10" ht="25.5" x14ac:dyDescent="0.25">
      <c r="A17" s="8" t="s">
        <v>149</v>
      </c>
      <c r="B17" s="9"/>
      <c r="C17" s="9"/>
      <c r="D17" s="9"/>
      <c r="E17" s="9"/>
      <c r="F17" s="9"/>
      <c r="G17" s="12"/>
      <c r="H17" s="8"/>
      <c r="I17" s="8"/>
      <c r="J17" s="8"/>
    </row>
    <row r="18" spans="1:10" ht="25.5" x14ac:dyDescent="0.25">
      <c r="A18" s="8" t="s">
        <v>150</v>
      </c>
      <c r="B18" s="9"/>
      <c r="C18" s="9"/>
      <c r="D18" s="9"/>
      <c r="E18" s="9"/>
      <c r="F18" s="9"/>
      <c r="G18" s="12"/>
      <c r="H18" s="8"/>
      <c r="I18" s="8"/>
      <c r="J18" s="8"/>
    </row>
    <row r="19" spans="1:10" ht="25.5" x14ac:dyDescent="0.25">
      <c r="A19" s="8" t="s">
        <v>151</v>
      </c>
      <c r="B19" s="9"/>
      <c r="C19" s="9"/>
      <c r="D19" s="9"/>
      <c r="E19" s="9"/>
      <c r="F19" s="9"/>
      <c r="G19" s="12"/>
      <c r="H19" s="8"/>
      <c r="I19" s="8"/>
      <c r="J19" s="8"/>
    </row>
    <row r="20" spans="1:10" ht="25.5" x14ac:dyDescent="0.25">
      <c r="A20" s="8" t="s">
        <v>152</v>
      </c>
      <c r="B20" s="9"/>
      <c r="C20" s="9"/>
      <c r="D20" s="9"/>
      <c r="E20" s="9"/>
      <c r="F20" s="9"/>
      <c r="G20" s="12"/>
      <c r="H20" s="8"/>
      <c r="I20" s="8"/>
      <c r="J20" s="8"/>
    </row>
    <row r="21" spans="1:10" ht="25.5" x14ac:dyDescent="0.25">
      <c r="A21" s="8" t="s">
        <v>153</v>
      </c>
      <c r="B21" s="9"/>
      <c r="C21" s="9"/>
      <c r="D21" s="9"/>
      <c r="E21" s="9"/>
      <c r="F21" s="9"/>
      <c r="G21" s="12"/>
      <c r="H21" s="8"/>
      <c r="I21" s="8"/>
      <c r="J21" s="8"/>
    </row>
    <row r="22" spans="1:10" ht="25.5" x14ac:dyDescent="0.25">
      <c r="A22" s="8" t="s">
        <v>154</v>
      </c>
      <c r="B22" s="9"/>
      <c r="C22" s="9"/>
      <c r="D22" s="9"/>
      <c r="E22" s="9"/>
      <c r="F22" s="9"/>
      <c r="G22" s="12"/>
      <c r="H22" s="8"/>
      <c r="I22" s="8"/>
      <c r="J22" s="8"/>
    </row>
    <row r="23" spans="1:10" ht="25.5" x14ac:dyDescent="0.25">
      <c r="A23" s="8" t="s">
        <v>155</v>
      </c>
      <c r="B23" s="9"/>
      <c r="C23" s="9"/>
      <c r="D23" s="9"/>
      <c r="E23" s="9"/>
      <c r="F23" s="9"/>
      <c r="G23" s="12"/>
      <c r="H23" s="8"/>
      <c r="I23" s="8"/>
      <c r="J23" s="8"/>
    </row>
  </sheetData>
  <mergeCells count="1">
    <mergeCell ref="A1:J1"/>
  </mergeCells>
  <phoneticPr fontId="16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D6A4F"/>
  </sheetPr>
  <dimension ref="A1:J17"/>
  <sheetViews>
    <sheetView showGridLines="0" tabSelected="1" zoomScale="130" zoomScaleNormal="130" workbookViewId="0">
      <selection activeCell="H11" sqref="H11"/>
    </sheetView>
  </sheetViews>
  <sheetFormatPr baseColWidth="10" defaultColWidth="8.7109375" defaultRowHeight="15" x14ac:dyDescent="0.25"/>
  <cols>
    <col min="1" max="1" width="18.7109375" bestFit="1" customWidth="1"/>
    <col min="2" max="2" width="10" customWidth="1"/>
    <col min="3" max="3" width="35" customWidth="1"/>
    <col min="4" max="4" width="26.7109375" bestFit="1" customWidth="1"/>
    <col min="5" max="5" width="12" customWidth="1"/>
    <col min="6" max="6" width="10" customWidth="1"/>
    <col min="7" max="7" width="16" customWidth="1"/>
    <col min="8" max="9" width="12" customWidth="1"/>
    <col min="10" max="10" width="10.140625" bestFit="1" customWidth="1"/>
  </cols>
  <sheetData>
    <row r="1" spans="1:10" ht="21.75" customHeight="1" x14ac:dyDescent="0.25">
      <c r="A1" s="37" t="s">
        <v>181</v>
      </c>
      <c r="B1" s="37"/>
      <c r="C1" s="37"/>
      <c r="D1" s="37"/>
      <c r="E1" s="37"/>
      <c r="F1" s="37"/>
      <c r="G1" s="37"/>
      <c r="H1" s="37"/>
      <c r="I1" s="37"/>
    </row>
    <row r="2" spans="1:10" ht="18" customHeight="1" x14ac:dyDescent="0.25">
      <c r="A2" s="13" t="s">
        <v>61</v>
      </c>
      <c r="B2" s="42" t="s">
        <v>62</v>
      </c>
      <c r="C2" s="42"/>
      <c r="D2" s="42"/>
      <c r="E2" s="42"/>
      <c r="F2" s="42"/>
      <c r="G2" s="42"/>
      <c r="H2" s="42"/>
      <c r="I2" s="42"/>
    </row>
    <row r="3" spans="1:10" ht="18" customHeight="1" x14ac:dyDescent="0.25">
      <c r="A3" s="13" t="s">
        <v>63</v>
      </c>
      <c r="B3" s="43">
        <v>46124</v>
      </c>
      <c r="C3" s="42"/>
      <c r="D3" s="42"/>
      <c r="E3" s="42"/>
      <c r="F3" s="42"/>
      <c r="G3" s="42"/>
      <c r="H3" s="42"/>
      <c r="I3" s="42"/>
    </row>
    <row r="4" spans="1:10" ht="18" customHeight="1" x14ac:dyDescent="0.25">
      <c r="A4" s="13" t="s">
        <v>64</v>
      </c>
      <c r="B4" s="43">
        <v>46171</v>
      </c>
      <c r="C4" s="42"/>
      <c r="D4" s="42"/>
      <c r="E4" s="42"/>
      <c r="F4" s="42"/>
      <c r="G4" s="42"/>
      <c r="H4" s="42"/>
      <c r="I4" s="42"/>
    </row>
    <row r="5" spans="1:10" ht="18" customHeight="1" x14ac:dyDescent="0.25">
      <c r="A5" s="13" t="s">
        <v>65</v>
      </c>
      <c r="B5" s="42" t="s">
        <v>66</v>
      </c>
      <c r="C5" s="42"/>
      <c r="D5" s="42"/>
      <c r="E5" s="42"/>
      <c r="F5" s="42"/>
      <c r="G5" s="42"/>
      <c r="H5" s="42"/>
      <c r="I5" s="42"/>
    </row>
    <row r="6" spans="1:10" ht="9.75" customHeight="1" x14ac:dyDescent="0.25"/>
    <row r="7" spans="1:10" ht="25.5" x14ac:dyDescent="0.25">
      <c r="A7" s="14" t="s">
        <v>67</v>
      </c>
      <c r="B7" s="14" t="s">
        <v>68</v>
      </c>
      <c r="C7" s="14" t="s">
        <v>69</v>
      </c>
      <c r="D7" s="14" t="s">
        <v>70</v>
      </c>
      <c r="E7" s="14" t="s">
        <v>71</v>
      </c>
      <c r="F7" s="14" t="s">
        <v>72</v>
      </c>
      <c r="G7" s="14" t="s">
        <v>44</v>
      </c>
      <c r="H7" s="14" t="s">
        <v>73</v>
      </c>
      <c r="I7" s="14" t="s">
        <v>74</v>
      </c>
      <c r="J7" s="14" t="s">
        <v>45</v>
      </c>
    </row>
    <row r="8" spans="1:10" ht="25.5" x14ac:dyDescent="0.25">
      <c r="A8" s="8" t="s">
        <v>75</v>
      </c>
      <c r="B8" s="8" t="s">
        <v>46</v>
      </c>
      <c r="C8" s="9" t="s">
        <v>124</v>
      </c>
      <c r="D8" s="9" t="s">
        <v>133</v>
      </c>
      <c r="E8" s="8">
        <v>1</v>
      </c>
      <c r="F8" s="8"/>
      <c r="G8" s="34" t="s">
        <v>134</v>
      </c>
      <c r="H8" s="35">
        <v>46125</v>
      </c>
      <c r="I8" s="35">
        <v>46128</v>
      </c>
      <c r="J8" s="53">
        <v>1</v>
      </c>
    </row>
    <row r="9" spans="1:10" ht="21.75" customHeight="1" x14ac:dyDescent="0.25">
      <c r="A9" s="10" t="s">
        <v>76</v>
      </c>
      <c r="B9" s="10" t="s">
        <v>46</v>
      </c>
      <c r="C9" s="11" t="s">
        <v>125</v>
      </c>
      <c r="D9" s="9" t="s">
        <v>133</v>
      </c>
      <c r="E9" s="10">
        <v>2</v>
      </c>
      <c r="F9" s="10"/>
      <c r="G9" s="34" t="s">
        <v>134</v>
      </c>
      <c r="H9" s="36">
        <v>46134</v>
      </c>
      <c r="I9" s="36">
        <v>46134</v>
      </c>
      <c r="J9" s="10">
        <v>1</v>
      </c>
    </row>
    <row r="10" spans="1:10" ht="21.75" customHeight="1" x14ac:dyDescent="0.25">
      <c r="A10" s="8" t="s">
        <v>77</v>
      </c>
      <c r="B10" s="8" t="s">
        <v>46</v>
      </c>
      <c r="C10" s="9" t="s">
        <v>126</v>
      </c>
      <c r="D10" s="9" t="s">
        <v>133</v>
      </c>
      <c r="E10" s="8">
        <v>3</v>
      </c>
      <c r="F10" s="8"/>
      <c r="G10" s="9" t="s">
        <v>47</v>
      </c>
      <c r="H10" s="8"/>
      <c r="I10" s="8"/>
      <c r="J10" s="8">
        <v>2</v>
      </c>
    </row>
    <row r="11" spans="1:10" ht="21.75" customHeight="1" x14ac:dyDescent="0.25">
      <c r="A11" s="10" t="s">
        <v>78</v>
      </c>
      <c r="B11" s="10" t="s">
        <v>49</v>
      </c>
      <c r="C11" s="11" t="s">
        <v>127</v>
      </c>
      <c r="D11" s="9" t="s">
        <v>133</v>
      </c>
      <c r="E11" s="10">
        <v>4</v>
      </c>
      <c r="F11" s="10"/>
      <c r="G11" s="11" t="s">
        <v>47</v>
      </c>
      <c r="H11" s="10"/>
      <c r="I11" s="10"/>
      <c r="J11" s="10">
        <v>2</v>
      </c>
    </row>
    <row r="12" spans="1:10" ht="21.75" customHeight="1" x14ac:dyDescent="0.25">
      <c r="A12" s="8" t="s">
        <v>79</v>
      </c>
      <c r="B12" s="8" t="s">
        <v>49</v>
      </c>
      <c r="C12" s="9" t="s">
        <v>128</v>
      </c>
      <c r="D12" s="9" t="s">
        <v>133</v>
      </c>
      <c r="E12" s="8">
        <v>2</v>
      </c>
      <c r="F12" s="8"/>
      <c r="G12" s="9" t="s">
        <v>47</v>
      </c>
      <c r="H12" s="8"/>
      <c r="I12" s="8"/>
      <c r="J12" s="8">
        <v>3</v>
      </c>
    </row>
    <row r="13" spans="1:10" ht="21.75" customHeight="1" x14ac:dyDescent="0.25">
      <c r="A13" s="10" t="s">
        <v>80</v>
      </c>
      <c r="B13" s="10" t="s">
        <v>49</v>
      </c>
      <c r="C13" s="11" t="s">
        <v>129</v>
      </c>
      <c r="D13" s="9" t="s">
        <v>133</v>
      </c>
      <c r="E13" s="10">
        <v>2</v>
      </c>
      <c r="F13" s="10"/>
      <c r="G13" s="11" t="s">
        <v>47</v>
      </c>
      <c r="H13" s="10"/>
      <c r="I13" s="10"/>
      <c r="J13" s="10">
        <v>3</v>
      </c>
    </row>
    <row r="14" spans="1:10" ht="21.75" customHeight="1" x14ac:dyDescent="0.25">
      <c r="A14" s="8" t="s">
        <v>81</v>
      </c>
      <c r="B14" s="8" t="s">
        <v>50</v>
      </c>
      <c r="C14" s="9" t="s">
        <v>130</v>
      </c>
      <c r="D14" s="9" t="s">
        <v>133</v>
      </c>
      <c r="E14" s="8">
        <v>1</v>
      </c>
      <c r="F14" s="8"/>
      <c r="G14" s="9" t="s">
        <v>47</v>
      </c>
      <c r="H14" s="8"/>
      <c r="I14" s="8"/>
      <c r="J14" s="8">
        <v>3</v>
      </c>
    </row>
    <row r="15" spans="1:10" ht="21.75" customHeight="1" x14ac:dyDescent="0.25">
      <c r="A15" s="10" t="s">
        <v>82</v>
      </c>
      <c r="B15" s="10" t="s">
        <v>50</v>
      </c>
      <c r="C15" s="11" t="s">
        <v>131</v>
      </c>
      <c r="D15" s="9" t="s">
        <v>133</v>
      </c>
      <c r="E15" s="10">
        <v>1</v>
      </c>
      <c r="F15" s="10"/>
      <c r="G15" s="11" t="s">
        <v>47</v>
      </c>
      <c r="H15" s="10"/>
      <c r="I15" s="10"/>
      <c r="J15" s="10">
        <v>4</v>
      </c>
    </row>
    <row r="16" spans="1:10" ht="21.75" customHeight="1" x14ac:dyDescent="0.25">
      <c r="A16" s="8" t="s">
        <v>83</v>
      </c>
      <c r="B16" s="8" t="s">
        <v>50</v>
      </c>
      <c r="C16" s="9" t="s">
        <v>132</v>
      </c>
      <c r="D16" s="9" t="s">
        <v>133</v>
      </c>
      <c r="E16" s="8">
        <v>3</v>
      </c>
      <c r="F16" s="8"/>
      <c r="G16" s="9" t="s">
        <v>47</v>
      </c>
      <c r="H16" s="8"/>
      <c r="I16" s="8"/>
      <c r="J16" s="8">
        <v>4</v>
      </c>
    </row>
    <row r="17" spans="4:5" ht="18" customHeight="1" x14ac:dyDescent="0.25">
      <c r="D17" s="15" t="s">
        <v>84</v>
      </c>
      <c r="E17" s="16">
        <f>SUM(E8:E16)</f>
        <v>19</v>
      </c>
    </row>
  </sheetData>
  <mergeCells count="5">
    <mergeCell ref="A1:I1"/>
    <mergeCell ref="B2:I2"/>
    <mergeCell ref="B3:I3"/>
    <mergeCell ref="B4:I4"/>
    <mergeCell ref="B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A261"/>
  </sheetPr>
  <dimension ref="A1:H6"/>
  <sheetViews>
    <sheetView showGridLines="0" zoomScaleNormal="100" workbookViewId="0">
      <selection activeCell="D4" sqref="D4"/>
    </sheetView>
  </sheetViews>
  <sheetFormatPr baseColWidth="10" defaultColWidth="8.7109375" defaultRowHeight="15" x14ac:dyDescent="0.25"/>
  <cols>
    <col min="1" max="1" width="2" customWidth="1"/>
    <col min="2" max="2" width="28" customWidth="1"/>
    <col min="3" max="3" width="2" customWidth="1"/>
    <col min="4" max="4" width="28" customWidth="1"/>
    <col min="5" max="5" width="2" customWidth="1"/>
    <col min="6" max="6" width="28" customWidth="1"/>
    <col min="7" max="7" width="2" customWidth="1"/>
    <col min="8" max="8" width="28" customWidth="1"/>
  </cols>
  <sheetData>
    <row r="1" spans="1:8" ht="21.75" customHeight="1" x14ac:dyDescent="0.25">
      <c r="A1" s="37" t="s">
        <v>85</v>
      </c>
      <c r="B1" s="37"/>
      <c r="C1" s="37"/>
      <c r="D1" s="37"/>
      <c r="E1" s="37"/>
      <c r="F1" s="37"/>
      <c r="G1" s="37"/>
      <c r="H1" s="37"/>
    </row>
    <row r="2" spans="1:8" ht="27.75" customHeight="1" x14ac:dyDescent="0.25">
      <c r="B2" s="17" t="s">
        <v>86</v>
      </c>
      <c r="D2" s="18" t="s">
        <v>87</v>
      </c>
      <c r="F2" s="19" t="s">
        <v>88</v>
      </c>
      <c r="H2" s="20" t="s">
        <v>89</v>
      </c>
    </row>
    <row r="3" spans="1:8" ht="27.75" customHeight="1" x14ac:dyDescent="0.25">
      <c r="B3" s="21"/>
      <c r="D3" s="22" t="s">
        <v>90</v>
      </c>
      <c r="F3" s="23" t="s">
        <v>135</v>
      </c>
      <c r="H3" s="24"/>
    </row>
    <row r="4" spans="1:8" ht="27.75" customHeight="1" x14ac:dyDescent="0.25">
      <c r="B4" s="21"/>
      <c r="D4" s="22" t="s">
        <v>91</v>
      </c>
    </row>
    <row r="5" spans="1:8" ht="27.75" customHeight="1" x14ac:dyDescent="0.25">
      <c r="B5" s="21"/>
    </row>
    <row r="6" spans="1:8" ht="27.75" customHeight="1" x14ac:dyDescent="0.25">
      <c r="B6" s="21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3946"/>
  </sheetPr>
  <dimension ref="A1:E14"/>
  <sheetViews>
    <sheetView showGridLines="0" zoomScaleNormal="100" workbookViewId="0">
      <selection sqref="A1:E1"/>
    </sheetView>
  </sheetViews>
  <sheetFormatPr baseColWidth="10" defaultColWidth="8.7109375" defaultRowHeight="15" x14ac:dyDescent="0.25"/>
  <cols>
    <col min="1" max="1" width="18" customWidth="1"/>
    <col min="2" max="3" width="22" customWidth="1"/>
    <col min="4" max="4" width="18" customWidth="1"/>
  </cols>
  <sheetData>
    <row r="1" spans="1:5" ht="21.75" customHeight="1" x14ac:dyDescent="0.25">
      <c r="A1" s="37" t="s">
        <v>92</v>
      </c>
      <c r="B1" s="37"/>
      <c r="C1" s="37"/>
      <c r="D1" s="37"/>
      <c r="E1" s="37"/>
    </row>
    <row r="3" spans="1:5" ht="25.5" x14ac:dyDescent="0.25">
      <c r="A3" s="6" t="s">
        <v>93</v>
      </c>
      <c r="B3" s="7" t="s">
        <v>94</v>
      </c>
      <c r="C3" s="7" t="s">
        <v>95</v>
      </c>
      <c r="D3" s="6" t="s">
        <v>96</v>
      </c>
    </row>
    <row r="4" spans="1:5" ht="18" customHeight="1" x14ac:dyDescent="0.25">
      <c r="A4" s="25" t="s">
        <v>97</v>
      </c>
      <c r="B4" s="25">
        <v>32</v>
      </c>
      <c r="C4" s="25">
        <v>32</v>
      </c>
      <c r="D4" s="25">
        <v>0</v>
      </c>
    </row>
    <row r="5" spans="1:5" ht="18" customHeight="1" x14ac:dyDescent="0.25">
      <c r="A5" s="26" t="s">
        <v>98</v>
      </c>
      <c r="B5" s="26">
        <v>28.8</v>
      </c>
      <c r="C5" s="26">
        <v>32</v>
      </c>
      <c r="D5" s="27">
        <v>3.2</v>
      </c>
    </row>
    <row r="6" spans="1:5" ht="18" customHeight="1" x14ac:dyDescent="0.25">
      <c r="A6" s="25" t="s">
        <v>99</v>
      </c>
      <c r="B6" s="25">
        <v>25.6</v>
      </c>
      <c r="C6" s="25">
        <v>28</v>
      </c>
      <c r="D6" s="28">
        <v>2.4</v>
      </c>
    </row>
    <row r="7" spans="1:5" ht="18" customHeight="1" x14ac:dyDescent="0.25">
      <c r="A7" s="26" t="s">
        <v>100</v>
      </c>
      <c r="B7" s="26">
        <v>22.4</v>
      </c>
      <c r="C7" s="26">
        <v>25</v>
      </c>
      <c r="D7" s="27">
        <v>2.6</v>
      </c>
    </row>
    <row r="8" spans="1:5" ht="18" customHeight="1" x14ac:dyDescent="0.25">
      <c r="A8" s="25" t="s">
        <v>101</v>
      </c>
      <c r="B8" s="25">
        <v>19.2</v>
      </c>
      <c r="C8" s="25">
        <v>22</v>
      </c>
      <c r="D8" s="28">
        <v>2.8</v>
      </c>
    </row>
    <row r="9" spans="1:5" ht="18" customHeight="1" x14ac:dyDescent="0.25">
      <c r="A9" s="26" t="s">
        <v>102</v>
      </c>
      <c r="B9" s="26">
        <v>16</v>
      </c>
      <c r="C9" s="26">
        <v>18</v>
      </c>
      <c r="D9" s="27">
        <v>2</v>
      </c>
    </row>
    <row r="10" spans="1:5" ht="18" customHeight="1" x14ac:dyDescent="0.25">
      <c r="A10" s="25" t="s">
        <v>103</v>
      </c>
      <c r="B10" s="25">
        <v>12.8</v>
      </c>
      <c r="C10" s="25">
        <v>15</v>
      </c>
      <c r="D10" s="28">
        <v>2.2000000000000002</v>
      </c>
    </row>
    <row r="11" spans="1:5" ht="18" customHeight="1" x14ac:dyDescent="0.25">
      <c r="A11" s="26" t="s">
        <v>104</v>
      </c>
      <c r="B11" s="26">
        <v>9.6</v>
      </c>
      <c r="C11" s="26">
        <v>12</v>
      </c>
      <c r="D11" s="27">
        <v>2.4</v>
      </c>
    </row>
    <row r="12" spans="1:5" ht="18" customHeight="1" x14ac:dyDescent="0.25">
      <c r="A12" s="25" t="s">
        <v>105</v>
      </c>
      <c r="B12" s="25">
        <v>6.4</v>
      </c>
      <c r="C12" s="25">
        <v>8</v>
      </c>
      <c r="D12" s="28">
        <v>1.6</v>
      </c>
    </row>
    <row r="13" spans="1:5" ht="18" customHeight="1" x14ac:dyDescent="0.25">
      <c r="A13" s="26" t="s">
        <v>106</v>
      </c>
      <c r="B13" s="26">
        <v>3.2</v>
      </c>
      <c r="C13" s="26">
        <v>5</v>
      </c>
      <c r="D13" s="27">
        <v>1.8</v>
      </c>
    </row>
    <row r="14" spans="1:5" ht="18" customHeight="1" x14ac:dyDescent="0.25">
      <c r="A14" s="25" t="s">
        <v>107</v>
      </c>
      <c r="B14" s="25">
        <v>0</v>
      </c>
      <c r="C14" s="25">
        <v>0</v>
      </c>
      <c r="D14" s="25">
        <v>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B59B6"/>
  </sheetPr>
  <dimension ref="A1:D16"/>
  <sheetViews>
    <sheetView showGridLines="0" zoomScaleNormal="100" workbookViewId="0">
      <selection activeCell="C24" sqref="C24"/>
    </sheetView>
  </sheetViews>
  <sheetFormatPr baseColWidth="10" defaultColWidth="8.7109375" defaultRowHeight="15" x14ac:dyDescent="0.25"/>
  <cols>
    <col min="1" max="1" width="28" customWidth="1"/>
    <col min="2" max="2" width="40" customWidth="1"/>
    <col min="3" max="3" width="20" customWidth="1"/>
    <col min="4" max="4" width="18" customWidth="1"/>
  </cols>
  <sheetData>
    <row r="1" spans="1:4" ht="21.75" customHeight="1" x14ac:dyDescent="0.25">
      <c r="A1" s="37" t="s">
        <v>108</v>
      </c>
      <c r="B1" s="37"/>
      <c r="C1" s="37"/>
      <c r="D1" s="37"/>
    </row>
    <row r="3" spans="1:4" ht="21.75" customHeight="1" x14ac:dyDescent="0.25">
      <c r="A3" s="48" t="s">
        <v>109</v>
      </c>
      <c r="B3" s="48"/>
      <c r="C3" s="48"/>
      <c r="D3" s="48"/>
    </row>
    <row r="4" spans="1:4" ht="21.75" customHeight="1" x14ac:dyDescent="0.25">
      <c r="A4" s="49" t="s">
        <v>136</v>
      </c>
      <c r="B4" s="49"/>
      <c r="C4" s="49"/>
      <c r="D4" s="49"/>
    </row>
    <row r="5" spans="1:4" ht="21.75" customHeight="1" x14ac:dyDescent="0.25">
      <c r="A5" s="49"/>
      <c r="B5" s="49"/>
      <c r="C5" s="49"/>
      <c r="D5" s="49"/>
    </row>
    <row r="6" spans="1:4" ht="21.75" customHeight="1" x14ac:dyDescent="0.25">
      <c r="A6" s="49"/>
      <c r="B6" s="49"/>
      <c r="C6" s="49"/>
      <c r="D6" s="49"/>
    </row>
    <row r="8" spans="1:4" ht="21.75" customHeight="1" x14ac:dyDescent="0.25">
      <c r="A8" s="45" t="s">
        <v>110</v>
      </c>
      <c r="B8" s="45"/>
      <c r="C8" s="45"/>
      <c r="D8" s="45"/>
    </row>
    <row r="9" spans="1:4" ht="21.75" customHeight="1" x14ac:dyDescent="0.25">
      <c r="A9" s="46" t="s">
        <v>137</v>
      </c>
      <c r="B9" s="46"/>
      <c r="C9" s="46"/>
      <c r="D9" s="46"/>
    </row>
    <row r="10" spans="1:4" ht="21.75" customHeight="1" x14ac:dyDescent="0.25">
      <c r="A10" s="46"/>
      <c r="B10" s="46"/>
      <c r="C10" s="46"/>
      <c r="D10" s="46"/>
    </row>
    <row r="11" spans="1:4" ht="21.75" customHeight="1" x14ac:dyDescent="0.25">
      <c r="A11" s="46"/>
      <c r="B11" s="46"/>
      <c r="C11" s="46"/>
      <c r="D11" s="46"/>
    </row>
    <row r="13" spans="1:4" ht="21.75" customHeight="1" x14ac:dyDescent="0.25">
      <c r="A13" s="47" t="s">
        <v>111</v>
      </c>
      <c r="B13" s="47"/>
      <c r="C13" s="47"/>
      <c r="D13" s="47"/>
    </row>
    <row r="14" spans="1:4" ht="21.75" customHeight="1" x14ac:dyDescent="0.25">
      <c r="A14" s="44" t="s">
        <v>180</v>
      </c>
      <c r="B14" s="44"/>
      <c r="C14" s="44"/>
      <c r="D14" s="44"/>
    </row>
    <row r="15" spans="1:4" ht="21.75" customHeight="1" x14ac:dyDescent="0.25">
      <c r="A15" s="44"/>
      <c r="B15" s="44"/>
      <c r="C15" s="44"/>
      <c r="D15" s="44"/>
    </row>
    <row r="16" spans="1:4" ht="21.75" customHeight="1" x14ac:dyDescent="0.25">
      <c r="A16" s="44"/>
      <c r="B16" s="44"/>
      <c r="C16" s="44"/>
      <c r="D16" s="44"/>
    </row>
  </sheetData>
  <mergeCells count="13">
    <mergeCell ref="A1:D1"/>
    <mergeCell ref="A3:D3"/>
    <mergeCell ref="A4:D4"/>
    <mergeCell ref="A5:D5"/>
    <mergeCell ref="A6:D6"/>
    <mergeCell ref="A14:D14"/>
    <mergeCell ref="A15:D15"/>
    <mergeCell ref="A16:D16"/>
    <mergeCell ref="A8:D8"/>
    <mergeCell ref="A9:D9"/>
    <mergeCell ref="A10:D10"/>
    <mergeCell ref="A11:D11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39C12"/>
  </sheetPr>
  <dimension ref="A1:E12"/>
  <sheetViews>
    <sheetView showGridLines="0" zoomScaleNormal="100" workbookViewId="0">
      <selection activeCell="L9" sqref="L9"/>
    </sheetView>
  </sheetViews>
  <sheetFormatPr baseColWidth="10" defaultColWidth="8.7109375" defaultRowHeight="15" x14ac:dyDescent="0.25"/>
  <cols>
    <col min="1" max="1" width="16" customWidth="1"/>
    <col min="2" max="5" width="20" customWidth="1"/>
  </cols>
  <sheetData>
    <row r="1" spans="1:5" ht="21.75" customHeight="1" x14ac:dyDescent="0.25">
      <c r="A1" s="37" t="s">
        <v>112</v>
      </c>
      <c r="B1" s="37"/>
      <c r="C1" s="37"/>
      <c r="D1" s="37"/>
      <c r="E1" s="37"/>
    </row>
    <row r="3" spans="1:5" ht="25.5" x14ac:dyDescent="0.25">
      <c r="A3" s="6" t="s">
        <v>45</v>
      </c>
      <c r="B3" s="7" t="s">
        <v>113</v>
      </c>
      <c r="C3" s="7" t="s">
        <v>114</v>
      </c>
      <c r="D3" s="7" t="s">
        <v>115</v>
      </c>
      <c r="E3" s="7" t="s">
        <v>116</v>
      </c>
    </row>
    <row r="4" spans="1:5" ht="19.5" customHeight="1" x14ac:dyDescent="0.25">
      <c r="A4" s="29" t="s">
        <v>48</v>
      </c>
      <c r="B4" s="29">
        <v>32</v>
      </c>
      <c r="C4" s="29">
        <v>28</v>
      </c>
      <c r="D4" s="30">
        <f>C4/B4</f>
        <v>0.875</v>
      </c>
      <c r="E4" s="29">
        <v>4</v>
      </c>
    </row>
    <row r="5" spans="1:5" ht="19.5" customHeight="1" x14ac:dyDescent="0.25">
      <c r="A5" s="31"/>
      <c r="B5" s="31"/>
      <c r="C5" s="31"/>
      <c r="D5" s="32"/>
      <c r="E5" s="31"/>
    </row>
    <row r="6" spans="1:5" ht="19.5" customHeight="1" x14ac:dyDescent="0.25">
      <c r="A6" s="29"/>
      <c r="B6" s="29"/>
      <c r="C6" s="29"/>
      <c r="D6" s="30"/>
      <c r="E6" s="29"/>
    </row>
    <row r="7" spans="1:5" ht="19.5" customHeight="1" x14ac:dyDescent="0.25">
      <c r="A7" s="31"/>
      <c r="B7" s="31"/>
      <c r="C7" s="31"/>
      <c r="D7" s="32"/>
      <c r="E7" s="31"/>
    </row>
    <row r="9" spans="1:5" ht="21.75" customHeight="1" x14ac:dyDescent="0.25">
      <c r="A9" s="50" t="s">
        <v>117</v>
      </c>
      <c r="B9" s="50"/>
      <c r="C9" s="50"/>
      <c r="D9" s="50"/>
      <c r="E9" s="50"/>
    </row>
    <row r="10" spans="1:5" ht="21.75" customHeight="1" x14ac:dyDescent="0.25">
      <c r="A10" s="51" t="s">
        <v>118</v>
      </c>
      <c r="B10" s="51"/>
      <c r="C10" s="51"/>
      <c r="D10" s="16">
        <f>AVERAGE(C4:C7)</f>
        <v>28</v>
      </c>
      <c r="E10" s="33" t="s">
        <v>119</v>
      </c>
    </row>
    <row r="11" spans="1:5" ht="21.75" customHeight="1" x14ac:dyDescent="0.25">
      <c r="A11" s="51" t="s">
        <v>120</v>
      </c>
      <c r="B11" s="51"/>
      <c r="C11" s="51"/>
      <c r="D11" s="16">
        <f>SUM(C4:C7)</f>
        <v>28</v>
      </c>
      <c r="E11" s="33" t="s">
        <v>121</v>
      </c>
    </row>
    <row r="12" spans="1:5" ht="21.75" customHeight="1" x14ac:dyDescent="0.25">
      <c r="A12" s="51" t="s">
        <v>122</v>
      </c>
      <c r="B12" s="51"/>
      <c r="C12" s="51"/>
      <c r="D12" s="16">
        <f>SUM(C4:C7)/SUM(B4:B7)</f>
        <v>0.875</v>
      </c>
      <c r="E12" s="33" t="s">
        <v>123</v>
      </c>
    </row>
  </sheetData>
  <mergeCells count="5">
    <mergeCell ref="A1:E1"/>
    <mergeCell ref="A9:E9"/>
    <mergeCell ref="A10:C10"/>
    <mergeCell ref="A11:C11"/>
    <mergeCell ref="A12:C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📋 Proyecto</vt:lpstr>
      <vt:lpstr>📦 Product Backlog</vt:lpstr>
      <vt:lpstr>🏃 Sprint 1 Backlog</vt:lpstr>
      <vt:lpstr>🗂️ Kanban Board</vt:lpstr>
      <vt:lpstr>📉 Burndown Chart</vt:lpstr>
      <vt:lpstr>🔁 Retrospectiva</vt:lpstr>
      <vt:lpstr>📊 Métricas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Josue Alvarado</cp:lastModifiedBy>
  <cp:revision>1</cp:revision>
  <cp:lastPrinted>2026-04-22T22:05:19Z</cp:lastPrinted>
  <dcterms:created xsi:type="dcterms:W3CDTF">2026-04-22T21:48:20Z</dcterms:created>
  <dcterms:modified xsi:type="dcterms:W3CDTF">2026-04-22T23:09:17Z</dcterms:modified>
  <dc:language>en-US</dc:language>
</cp:coreProperties>
</file>